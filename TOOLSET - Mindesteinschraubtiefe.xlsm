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taes-sfs-01\TKAW\Entwicklung\High-Rise\06-Praktikanten\Praktikanten_Diplomanten\Philipe Doughty\Toolsets\"/>
    </mc:Choice>
  </mc:AlternateContent>
  <bookViews>
    <workbookView xWindow="0" yWindow="0" windowWidth="15360" windowHeight="15888"/>
  </bookViews>
  <sheets>
    <sheet name="Mindesteinschraubtiefe" sheetId="7" r:id="rId1"/>
    <sheet name="Festigkeitsklasse" sheetId="6" r:id="rId2"/>
    <sheet name="Metrische Gewinde" sheetId="5" r:id="rId3"/>
    <sheet name="Werkstoff" sheetId="2" r:id="rId4"/>
  </sheets>
  <definedNames>
    <definedName name="As">#REF!</definedName>
    <definedName name="C_1">#REF!</definedName>
    <definedName name="C_3">#REF!</definedName>
    <definedName name="d">#REF!</definedName>
    <definedName name="d__2">#REF!</definedName>
    <definedName name="D_1">#REF!</definedName>
    <definedName name="D_2">#REF!</definedName>
    <definedName name="M">'Metrische Gewinde'!$B$2:$G$22</definedName>
    <definedName name="P">#REF!</definedName>
    <definedName name="Rm">Festigkeitsklasse!$A$2:$B$8</definedName>
    <definedName name="RmM">#REF!</definedName>
    <definedName name="Rmmax">#REF!</definedName>
    <definedName name="RmS">#REF!</definedName>
    <definedName name="Rs">#REF!</definedName>
    <definedName name="s_">#REF!</definedName>
    <definedName name="s_d">#REF!</definedName>
    <definedName name="tauBM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B4" i="2"/>
  <c r="B3" i="2"/>
</calcChain>
</file>

<file path=xl/sharedStrings.xml><?xml version="1.0" encoding="utf-8"?>
<sst xmlns="http://schemas.openxmlformats.org/spreadsheetml/2006/main" count="49" uniqueCount="49">
  <si>
    <t>M1</t>
  </si>
  <si>
    <t>M1,2</t>
  </si>
  <si>
    <t>M1,6</t>
  </si>
  <si>
    <t>M2</t>
  </si>
  <si>
    <t>M2,5</t>
  </si>
  <si>
    <t>M3</t>
  </si>
  <si>
    <t>M4</t>
  </si>
  <si>
    <t>M5</t>
  </si>
  <si>
    <t>M6</t>
  </si>
  <si>
    <t>M10</t>
  </si>
  <si>
    <t>M12</t>
  </si>
  <si>
    <t>M16</t>
  </si>
  <si>
    <t>M20</t>
  </si>
  <si>
    <t>M24</t>
  </si>
  <si>
    <t>M30</t>
  </si>
  <si>
    <t>M36</t>
  </si>
  <si>
    <t>M42</t>
  </si>
  <si>
    <t>M48</t>
  </si>
  <si>
    <t>M56</t>
  </si>
  <si>
    <t>M64</t>
  </si>
  <si>
    <t>D</t>
  </si>
  <si>
    <t>P</t>
  </si>
  <si>
    <t>M8</t>
  </si>
  <si>
    <t>d2</t>
  </si>
  <si>
    <t>D1</t>
  </si>
  <si>
    <t>s</t>
  </si>
  <si>
    <t>As</t>
  </si>
  <si>
    <t>Rm</t>
  </si>
  <si>
    <t>4.6</t>
  </si>
  <si>
    <t>5.6</t>
  </si>
  <si>
    <t>5.8</t>
  </si>
  <si>
    <t>6.8</t>
  </si>
  <si>
    <t>8.8</t>
  </si>
  <si>
    <t>10.9</t>
  </si>
  <si>
    <t>12.9</t>
  </si>
  <si>
    <t>SFV</t>
  </si>
  <si>
    <t>Baustahl</t>
  </si>
  <si>
    <t>Vergütungsstahl</t>
  </si>
  <si>
    <t>Einsatzstahl</t>
  </si>
  <si>
    <t>Stahlguss</t>
  </si>
  <si>
    <t>Austenit (lösungsgeglüht)</t>
  </si>
  <si>
    <t>Austenit F60/60</t>
  </si>
  <si>
    <t>Gusseisen GJL</t>
  </si>
  <si>
    <t>Guseisen GJS</t>
  </si>
  <si>
    <t>Magnesiumgusslegierung</t>
  </si>
  <si>
    <t>Magnesiumknetlegierung</t>
  </si>
  <si>
    <t>Aluminiumgusslegierung</t>
  </si>
  <si>
    <t>Aluminiumknetlegierung</t>
  </si>
  <si>
    <t>Titanlegierung (ausgehärtet)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</si>
</sst>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0</xdr:row>
          <xdr:rowOff>137160</xdr:rowOff>
        </xdr:from>
        <xdr:to>
          <xdr:col>9</xdr:col>
          <xdr:colOff>518160</xdr:colOff>
          <xdr:row>5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Mindesteinschraubtiefe nach VDI 2230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6</xdr:row>
          <xdr:rowOff>60960</xdr:rowOff>
        </xdr:from>
        <xdr:to>
          <xdr:col>9</xdr:col>
          <xdr:colOff>518160</xdr:colOff>
          <xdr:row>10</xdr:row>
          <xdr:rowOff>144780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Ergebnisse löschen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419101</xdr:colOff>
      <xdr:row>0</xdr:row>
      <xdr:rowOff>28575</xdr:rowOff>
    </xdr:from>
    <xdr:to>
      <xdr:col>7</xdr:col>
      <xdr:colOff>448105</xdr:colOff>
      <xdr:row>22</xdr:row>
      <xdr:rowOff>38100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5601" y="28575"/>
          <a:ext cx="3839004" cy="4200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"/>
  <sheetViews>
    <sheetView tabSelected="1" workbookViewId="0">
      <selection activeCell="M11" sqref="M11"/>
    </sheetView>
  </sheetViews>
  <sheetFormatPr baseColWidth="10" defaultRowHeight="14.4" x14ac:dyDescent="0.3"/>
  <cols>
    <col min="1" max="1" width="20.88671875" customWidth="1"/>
  </cols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chaltfläche1_Klicken">
                <anchor moveWithCells="1" sizeWithCells="1">
                  <from>
                    <xdr:col>6</xdr:col>
                    <xdr:colOff>83820</xdr:colOff>
                    <xdr:row>0</xdr:row>
                    <xdr:rowOff>137160</xdr:rowOff>
                  </from>
                  <to>
                    <xdr:col>9</xdr:col>
                    <xdr:colOff>518160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chaltfläche2_Klicken">
                <anchor moveWithCells="1" sizeWithCells="1">
                  <from>
                    <xdr:col>6</xdr:col>
                    <xdr:colOff>83820</xdr:colOff>
                    <xdr:row>6</xdr:row>
                    <xdr:rowOff>60960</xdr:rowOff>
                  </from>
                  <to>
                    <xdr:col>9</xdr:col>
                    <xdr:colOff>518160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B8"/>
  <sheetViews>
    <sheetView workbookViewId="0">
      <selection activeCell="G25" sqref="G25"/>
    </sheetView>
  </sheetViews>
  <sheetFormatPr baseColWidth="10" defaultRowHeight="14.4" x14ac:dyDescent="0.3"/>
  <sheetData>
    <row r="1" spans="1:2" x14ac:dyDescent="0.3">
      <c r="B1" t="s">
        <v>27</v>
      </c>
    </row>
    <row r="2" spans="1:2" x14ac:dyDescent="0.3">
      <c r="A2" s="1" t="s">
        <v>28</v>
      </c>
      <c r="B2">
        <v>400</v>
      </c>
    </row>
    <row r="3" spans="1:2" x14ac:dyDescent="0.3">
      <c r="A3" s="1" t="s">
        <v>29</v>
      </c>
      <c r="B3">
        <v>500</v>
      </c>
    </row>
    <row r="4" spans="1:2" x14ac:dyDescent="0.3">
      <c r="A4" s="1" t="s">
        <v>30</v>
      </c>
      <c r="B4">
        <v>500</v>
      </c>
    </row>
    <row r="5" spans="1:2" x14ac:dyDescent="0.3">
      <c r="A5" s="1" t="s">
        <v>31</v>
      </c>
      <c r="B5">
        <v>600</v>
      </c>
    </row>
    <row r="6" spans="1:2" x14ac:dyDescent="0.3">
      <c r="A6" s="1" t="s">
        <v>32</v>
      </c>
      <c r="B6">
        <v>800</v>
      </c>
    </row>
    <row r="7" spans="1:2" x14ac:dyDescent="0.3">
      <c r="A7" s="1" t="s">
        <v>33</v>
      </c>
      <c r="B7">
        <v>1000</v>
      </c>
    </row>
    <row r="8" spans="1:2" x14ac:dyDescent="0.3">
      <c r="A8" s="1" t="s">
        <v>34</v>
      </c>
      <c r="B8">
        <v>1200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G22"/>
  <sheetViews>
    <sheetView workbookViewId="0">
      <selection activeCell="F40" sqref="F40"/>
    </sheetView>
  </sheetViews>
  <sheetFormatPr baseColWidth="10" defaultRowHeight="14.4" x14ac:dyDescent="0.3"/>
  <sheetData>
    <row r="1" spans="1:7" x14ac:dyDescent="0.3">
      <c r="B1" t="s">
        <v>20</v>
      </c>
      <c r="C1" t="s">
        <v>21</v>
      </c>
      <c r="D1" t="s">
        <v>23</v>
      </c>
      <c r="E1" t="s">
        <v>24</v>
      </c>
      <c r="F1" t="s">
        <v>26</v>
      </c>
      <c r="G1" t="s">
        <v>25</v>
      </c>
    </row>
    <row r="2" spans="1:7" x14ac:dyDescent="0.3">
      <c r="A2" t="s">
        <v>0</v>
      </c>
      <c r="B2">
        <v>1</v>
      </c>
      <c r="C2">
        <v>0.25</v>
      </c>
      <c r="D2">
        <v>0.84</v>
      </c>
      <c r="E2">
        <v>0.73</v>
      </c>
      <c r="F2">
        <v>0.46</v>
      </c>
      <c r="G2">
        <v>2.5</v>
      </c>
    </row>
    <row r="3" spans="1:7" x14ac:dyDescent="0.3">
      <c r="A3" t="s">
        <v>1</v>
      </c>
      <c r="B3">
        <v>1.2</v>
      </c>
      <c r="C3">
        <v>0.25</v>
      </c>
      <c r="D3">
        <v>1.04</v>
      </c>
      <c r="E3">
        <v>0.93</v>
      </c>
      <c r="F3">
        <v>0.73</v>
      </c>
      <c r="G3">
        <v>3</v>
      </c>
    </row>
    <row r="4" spans="1:7" x14ac:dyDescent="0.3">
      <c r="A4" t="s">
        <v>2</v>
      </c>
      <c r="B4">
        <v>1.6</v>
      </c>
      <c r="C4">
        <v>0.35</v>
      </c>
      <c r="D4">
        <v>1.38</v>
      </c>
      <c r="E4">
        <v>1.22</v>
      </c>
      <c r="F4">
        <v>1.27</v>
      </c>
      <c r="G4">
        <v>3.2</v>
      </c>
    </row>
    <row r="5" spans="1:7" x14ac:dyDescent="0.3">
      <c r="A5" t="s">
        <v>3</v>
      </c>
      <c r="B5">
        <v>2</v>
      </c>
      <c r="C5">
        <v>0.4</v>
      </c>
      <c r="D5">
        <v>1.74</v>
      </c>
      <c r="E5">
        <v>1.57</v>
      </c>
      <c r="F5">
        <v>2.0699999999999998</v>
      </c>
      <c r="G5">
        <v>4</v>
      </c>
    </row>
    <row r="6" spans="1:7" x14ac:dyDescent="0.3">
      <c r="A6" t="s">
        <v>4</v>
      </c>
      <c r="B6">
        <v>2.5</v>
      </c>
      <c r="C6">
        <v>0.45</v>
      </c>
      <c r="D6">
        <v>2.21</v>
      </c>
      <c r="E6">
        <v>2.0099999999999998</v>
      </c>
      <c r="F6">
        <v>3.39</v>
      </c>
      <c r="G6">
        <v>5</v>
      </c>
    </row>
    <row r="7" spans="1:7" x14ac:dyDescent="0.3">
      <c r="A7" t="s">
        <v>5</v>
      </c>
      <c r="B7">
        <v>3</v>
      </c>
      <c r="C7">
        <v>0.5</v>
      </c>
      <c r="D7">
        <v>2.68</v>
      </c>
      <c r="E7">
        <v>2.46</v>
      </c>
      <c r="F7">
        <v>5.03</v>
      </c>
      <c r="G7">
        <v>5.5</v>
      </c>
    </row>
    <row r="8" spans="1:7" x14ac:dyDescent="0.3">
      <c r="A8" t="s">
        <v>6</v>
      </c>
      <c r="B8">
        <v>4</v>
      </c>
      <c r="C8">
        <v>0.7</v>
      </c>
      <c r="D8">
        <v>3.55</v>
      </c>
      <c r="E8">
        <v>3.24</v>
      </c>
      <c r="F8">
        <v>8.7799999999999994</v>
      </c>
      <c r="G8">
        <v>7</v>
      </c>
    </row>
    <row r="9" spans="1:7" x14ac:dyDescent="0.3">
      <c r="A9" t="s">
        <v>7</v>
      </c>
      <c r="B9">
        <v>5</v>
      </c>
      <c r="C9">
        <v>0.8</v>
      </c>
      <c r="D9">
        <v>4.4800000000000004</v>
      </c>
      <c r="E9">
        <v>4.13</v>
      </c>
      <c r="F9">
        <v>14.2</v>
      </c>
      <c r="G9">
        <v>8</v>
      </c>
    </row>
    <row r="10" spans="1:7" x14ac:dyDescent="0.3">
      <c r="A10" t="s">
        <v>8</v>
      </c>
      <c r="B10">
        <v>6</v>
      </c>
      <c r="C10">
        <v>1</v>
      </c>
      <c r="D10">
        <v>5.35</v>
      </c>
      <c r="E10">
        <v>4.92</v>
      </c>
      <c r="F10">
        <v>20.100000000000001</v>
      </c>
      <c r="G10">
        <v>10</v>
      </c>
    </row>
    <row r="11" spans="1:7" x14ac:dyDescent="0.3">
      <c r="A11" t="s">
        <v>22</v>
      </c>
      <c r="B11">
        <v>8</v>
      </c>
      <c r="C11">
        <v>1.25</v>
      </c>
      <c r="D11">
        <v>7.19</v>
      </c>
      <c r="E11">
        <v>6.65</v>
      </c>
      <c r="F11">
        <v>36.6</v>
      </c>
      <c r="G11">
        <v>13</v>
      </c>
    </row>
    <row r="12" spans="1:7" x14ac:dyDescent="0.3">
      <c r="A12" t="s">
        <v>9</v>
      </c>
      <c r="B12">
        <v>10</v>
      </c>
      <c r="C12">
        <v>1.5</v>
      </c>
      <c r="D12">
        <v>9.0299999999999994</v>
      </c>
      <c r="E12">
        <v>8.3800000000000008</v>
      </c>
      <c r="F12">
        <v>58</v>
      </c>
      <c r="G12">
        <v>16</v>
      </c>
    </row>
    <row r="13" spans="1:7" x14ac:dyDescent="0.3">
      <c r="A13" t="s">
        <v>10</v>
      </c>
      <c r="B13">
        <v>12</v>
      </c>
      <c r="C13">
        <v>1.75</v>
      </c>
      <c r="D13">
        <v>10.86</v>
      </c>
      <c r="E13">
        <v>10.11</v>
      </c>
      <c r="F13">
        <v>84.3</v>
      </c>
      <c r="G13">
        <v>18</v>
      </c>
    </row>
    <row r="14" spans="1:7" x14ac:dyDescent="0.3">
      <c r="A14" t="s">
        <v>11</v>
      </c>
      <c r="B14">
        <v>16</v>
      </c>
      <c r="C14">
        <v>2</v>
      </c>
      <c r="D14">
        <v>14.7</v>
      </c>
      <c r="E14">
        <v>13.84</v>
      </c>
      <c r="F14">
        <v>157</v>
      </c>
      <c r="G14">
        <v>24</v>
      </c>
    </row>
    <row r="15" spans="1:7" x14ac:dyDescent="0.3">
      <c r="A15" t="s">
        <v>12</v>
      </c>
      <c r="B15">
        <v>20</v>
      </c>
      <c r="C15">
        <v>2.5</v>
      </c>
      <c r="D15">
        <v>18.38</v>
      </c>
      <c r="E15">
        <v>17.29</v>
      </c>
      <c r="F15">
        <v>245</v>
      </c>
      <c r="G15">
        <v>30</v>
      </c>
    </row>
    <row r="16" spans="1:7" x14ac:dyDescent="0.3">
      <c r="A16" t="s">
        <v>13</v>
      </c>
      <c r="B16">
        <v>24</v>
      </c>
      <c r="C16">
        <v>3</v>
      </c>
      <c r="D16">
        <v>22.05</v>
      </c>
      <c r="E16">
        <v>20.75</v>
      </c>
      <c r="F16">
        <v>353</v>
      </c>
      <c r="G16">
        <v>36</v>
      </c>
    </row>
    <row r="17" spans="1:7" x14ac:dyDescent="0.3">
      <c r="A17" t="s">
        <v>14</v>
      </c>
      <c r="B17">
        <v>30</v>
      </c>
      <c r="C17">
        <v>3.5</v>
      </c>
      <c r="D17">
        <v>27.73</v>
      </c>
      <c r="E17">
        <v>26.21</v>
      </c>
      <c r="F17">
        <v>561</v>
      </c>
      <c r="G17">
        <v>46</v>
      </c>
    </row>
    <row r="18" spans="1:7" x14ac:dyDescent="0.3">
      <c r="A18" t="s">
        <v>15</v>
      </c>
      <c r="B18">
        <v>36</v>
      </c>
      <c r="C18">
        <v>4</v>
      </c>
      <c r="D18">
        <v>33.4</v>
      </c>
      <c r="E18">
        <v>31.67</v>
      </c>
      <c r="F18">
        <v>817</v>
      </c>
      <c r="G18">
        <v>55</v>
      </c>
    </row>
    <row r="19" spans="1:7" x14ac:dyDescent="0.3">
      <c r="A19" t="s">
        <v>16</v>
      </c>
      <c r="B19">
        <v>42</v>
      </c>
      <c r="C19">
        <v>4.5</v>
      </c>
      <c r="D19">
        <v>39.08</v>
      </c>
      <c r="E19">
        <v>37.130000000000003</v>
      </c>
      <c r="F19">
        <v>1121</v>
      </c>
      <c r="G19">
        <v>65</v>
      </c>
    </row>
    <row r="20" spans="1:7" x14ac:dyDescent="0.3">
      <c r="A20" t="s">
        <v>17</v>
      </c>
      <c r="B20">
        <v>48</v>
      </c>
      <c r="C20">
        <v>5</v>
      </c>
      <c r="D20">
        <v>44.75</v>
      </c>
      <c r="E20">
        <v>42.59</v>
      </c>
      <c r="F20">
        <v>1473</v>
      </c>
      <c r="G20">
        <v>75</v>
      </c>
    </row>
    <row r="21" spans="1:7" x14ac:dyDescent="0.3">
      <c r="A21" t="s">
        <v>18</v>
      </c>
      <c r="B21">
        <v>56</v>
      </c>
      <c r="C21">
        <v>5.5</v>
      </c>
      <c r="D21">
        <v>52.43</v>
      </c>
      <c r="E21">
        <v>50.05</v>
      </c>
      <c r="F21">
        <v>2030</v>
      </c>
      <c r="G21">
        <v>85</v>
      </c>
    </row>
    <row r="22" spans="1:7" x14ac:dyDescent="0.3">
      <c r="A22" t="s">
        <v>19</v>
      </c>
      <c r="B22">
        <v>64</v>
      </c>
      <c r="C22">
        <v>6</v>
      </c>
      <c r="D22">
        <v>60.1</v>
      </c>
      <c r="E22">
        <v>57.51</v>
      </c>
      <c r="F22">
        <v>2676</v>
      </c>
      <c r="G22">
        <v>95</v>
      </c>
    </row>
  </sheetData>
  <dataConsolidate/>
  <pageMargins left="0.7" right="0.7" top="0.78740157499999996" bottom="0.78740157499999996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14"/>
  <sheetViews>
    <sheetView workbookViewId="0">
      <selection activeCell="B2" sqref="B2"/>
    </sheetView>
  </sheetViews>
  <sheetFormatPr baseColWidth="10" defaultRowHeight="14.4" x14ac:dyDescent="0.3"/>
  <cols>
    <col min="1" max="1" width="25.6640625" customWidth="1"/>
  </cols>
  <sheetData>
    <row r="1" spans="1:2" x14ac:dyDescent="0.3">
      <c r="B1" t="s">
        <v>35</v>
      </c>
    </row>
    <row r="2" spans="1:2" x14ac:dyDescent="0.3">
      <c r="A2" t="s">
        <v>36</v>
      </c>
      <c r="B2">
        <v>0.8</v>
      </c>
    </row>
    <row r="3" spans="1:2" x14ac:dyDescent="0.3">
      <c r="A3" t="s">
        <v>37</v>
      </c>
      <c r="B3">
        <f>ROUND((0.65+0.85)/2,1)</f>
        <v>0.8</v>
      </c>
    </row>
    <row r="4" spans="1:2" x14ac:dyDescent="0.3">
      <c r="A4" t="s">
        <v>38</v>
      </c>
      <c r="B4">
        <f>ROUND((1+0.85)/2,1)</f>
        <v>0.9</v>
      </c>
    </row>
    <row r="5" spans="1:2" x14ac:dyDescent="0.3">
      <c r="A5" t="s">
        <v>39</v>
      </c>
      <c r="B5">
        <v>0.8</v>
      </c>
    </row>
    <row r="6" spans="1:2" x14ac:dyDescent="0.3">
      <c r="A6" t="s">
        <v>40</v>
      </c>
      <c r="B6">
        <v>0.8</v>
      </c>
    </row>
    <row r="7" spans="1:2" x14ac:dyDescent="0.3">
      <c r="A7" t="s">
        <v>41</v>
      </c>
      <c r="B7">
        <f>ROUND((0.65+0.75)/2,1)</f>
        <v>0.7</v>
      </c>
    </row>
    <row r="8" spans="1:2" x14ac:dyDescent="0.3">
      <c r="A8" t="s">
        <v>42</v>
      </c>
      <c r="B8">
        <v>1.1499999999999999</v>
      </c>
    </row>
    <row r="9" spans="1:2" x14ac:dyDescent="0.3">
      <c r="A9" t="s">
        <v>43</v>
      </c>
      <c r="B9">
        <v>0.9</v>
      </c>
    </row>
    <row r="10" spans="1:2" x14ac:dyDescent="0.3">
      <c r="A10" t="s">
        <v>44</v>
      </c>
      <c r="B10">
        <v>0.42</v>
      </c>
    </row>
    <row r="11" spans="1:2" x14ac:dyDescent="0.3">
      <c r="A11" t="s">
        <v>45</v>
      </c>
      <c r="B11">
        <v>0.55000000000000004</v>
      </c>
    </row>
    <row r="12" spans="1:2" x14ac:dyDescent="0.3">
      <c r="A12" t="s">
        <v>46</v>
      </c>
      <c r="B12">
        <v>0.52</v>
      </c>
    </row>
    <row r="13" spans="1:2" x14ac:dyDescent="0.3">
      <c r="A13" t="s">
        <v>47</v>
      </c>
      <c r="B13">
        <v>0.6</v>
      </c>
    </row>
    <row r="14" spans="1:2" x14ac:dyDescent="0.3">
      <c r="A14" t="s">
        <v>48</v>
      </c>
      <c r="B14">
        <v>0.6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Mindesteinschraubtiefe</vt:lpstr>
      <vt:lpstr>Festigkeitsklasse</vt:lpstr>
      <vt:lpstr>Metrische Gewinde</vt:lpstr>
      <vt:lpstr>Werkstoff</vt:lpstr>
      <vt:lpstr>M</vt:lpstr>
      <vt:lpstr>Rm</vt:lpstr>
    </vt:vector>
  </TitlesOfParts>
  <Company>ThyssenKrupp Elevator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Philipe Ferraz Doughty</dc:creator>
  <cp:lastModifiedBy>Philipe Ferraz Doughty</cp:lastModifiedBy>
  <dcterms:created xsi:type="dcterms:W3CDTF">2021-09-07T06:15:19Z</dcterms:created>
  <dcterms:modified xsi:type="dcterms:W3CDTF">2021-12-08T14:02:44Z</dcterms:modified>
</cp:coreProperties>
</file>